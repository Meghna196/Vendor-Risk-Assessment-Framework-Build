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eghnasuresh/Library/Application Support/Claude/local-agent-mode-sessions/5cd9c156-6517-4132-9956-6e901064bc85/db7ce177-b414-480d-9cdf-e983a1f1309b/local_6e03c3ca-e223-474e-9220-8d2ee1b8b82c/outputs/vendor-risk-framework/"/>
    </mc:Choice>
  </mc:AlternateContent>
  <xr:revisionPtr revIDLastSave="0" documentId="13_ncr:1_{5660C478-E2C8-244D-9490-CAD32E6D78F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Tiering Criteria" sheetId="1" r:id="rId1"/>
    <sheet name="Vendor Invento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<sst xmlns="http://schemas.openxmlformats.org/spreadsheetml/2006/main" count="131" uniqueCount="114">
  <si>
    <t>Tier</t>
  </si>
  <si>
    <t>Label</t>
  </si>
  <si>
    <t>Data Sensitivity</t>
  </si>
  <si>
    <t>Operational Criticality</t>
  </si>
  <si>
    <t>Assessment Frequency</t>
  </si>
  <si>
    <t>Questionnaire Depth</t>
  </si>
  <si>
    <t>Critical</t>
  </si>
  <si>
    <t>Processes PII, PCI, or PHI data at scale</t>
  </si>
  <si>
    <t>Outage causes direct revenue loss or customer harm</t>
  </si>
  <si>
    <t>Annual + event-triggered</t>
  </si>
  <si>
    <t>Full (60+ questions)</t>
  </si>
  <si>
    <t>High</t>
  </si>
  <si>
    <t>Limited PII access or non-core data processing</t>
  </si>
  <si>
    <t>Outage degrades service but workarounds exist</t>
  </si>
  <si>
    <t>Annual</t>
  </si>
  <si>
    <t>Standard (30 questions)</t>
  </si>
  <si>
    <t>Low</t>
  </si>
  <si>
    <t>No data access or anonymised/aggregated data only</t>
  </si>
  <si>
    <t>Outage has minimal customer-facing impact</t>
  </si>
  <si>
    <t>Every 2 years</t>
  </si>
  <si>
    <t>Lightweight (15 questions)</t>
  </si>
  <si>
    <t>Tiering Decision Tree</t>
  </si>
  <si>
    <t>Q1: Does the vendor access, store, or process customer PII or payment data?</t>
  </si>
  <si>
    <t xml:space="preserve">      YES -&gt; Tier 1</t>
  </si>
  <si>
    <t xml:space="preserve">      NO  -&gt; Go to Q2</t>
  </si>
  <si>
    <t>Q2: Would a vendor outage or breach directly impact StubHub's ability to sell or deliver tickets?</t>
  </si>
  <si>
    <t xml:space="preserve">      YES -&gt; Tier 2</t>
  </si>
  <si>
    <t xml:space="preserve">      NO  -&gt; Go to Q3</t>
  </si>
  <si>
    <t>Q3: Does the vendor have any network access to StubHub systems or data, even indirectly?</t>
  </si>
  <si>
    <t xml:space="preserve">      NO  -&gt; Tier 3</t>
  </si>
  <si>
    <t>Vendor Name</t>
  </si>
  <si>
    <t>Vendor Category</t>
  </si>
  <si>
    <t>Assigned Tier</t>
  </si>
  <si>
    <t>Assessment Status</t>
  </si>
  <si>
    <t>Last Assessment Date</t>
  </si>
  <si>
    <t>Next Assessment Due</t>
  </si>
  <si>
    <t>Vendor Security Score</t>
  </si>
  <si>
    <t>Risk Rating</t>
  </si>
  <si>
    <t>Key Findings</t>
  </si>
  <si>
    <t>Remediation Required</t>
  </si>
  <si>
    <t>Remediation Owner</t>
  </si>
  <si>
    <t>Remediation Due Date</t>
  </si>
  <si>
    <t>Notes</t>
  </si>
  <si>
    <t>PaymentCo</t>
  </si>
  <si>
    <t>Payment</t>
  </si>
  <si>
    <t>Complete</t>
  </si>
  <si>
    <t>2026-03-10</t>
  </si>
  <si>
    <t>2027-03-10</t>
  </si>
  <si>
    <t>No MFA enforced on admin accounts handling cardholder data; breach notification SLA not contractually confirmed</t>
  </si>
  <si>
    <t>Yes</t>
  </si>
  <si>
    <t>Security Engineering</t>
  </si>
  <si>
    <t>2026-07-23</t>
  </si>
  <si>
    <t>Tier 1 PCI-relevant processor; CISO briefed on remediation plan</t>
  </si>
  <si>
    <t>CloudHosting Ltd</t>
  </si>
  <si>
    <t>Cloud</t>
  </si>
  <si>
    <t>2025-09-01</t>
  </si>
  <si>
    <t>2026-09-01</t>
  </si>
  <si>
    <t>No material findings; strong DR/redundancy posture across regions</t>
  </si>
  <si>
    <t>No</t>
  </si>
  <si>
    <t>Primary IaaS provider; multi-region failover confirmed</t>
  </si>
  <si>
    <t>MarketingAnalytics Inc</t>
  </si>
  <si>
    <t>Analytics</t>
  </si>
  <si>
    <t>2025-11-15</t>
  </si>
  <si>
    <t>2026-11-15</t>
  </si>
  <si>
    <t>Data classification policy exists but not consistently applied to shared datasets</t>
  </si>
  <si>
    <t>Limited PII access; aggregated reporting only</t>
  </si>
  <si>
    <t>EmailDelivery Co</t>
  </si>
  <si>
    <t>Communications</t>
  </si>
  <si>
    <t>In Progress</t>
  </si>
  <si>
    <t>2025-06-01</t>
  </si>
  <si>
    <t>2026-07-20</t>
  </si>
  <si>
    <t>Assessment in progress; awaiting questionnaire response</t>
  </si>
  <si>
    <t>Tier 2 due to CRM-linked customer email list access</t>
  </si>
  <si>
    <t>HR Platform SaaS</t>
  </si>
  <si>
    <t>HR/Staffing</t>
  </si>
  <si>
    <t>2026-01-20</t>
  </si>
  <si>
    <t>2027-01-20</t>
  </si>
  <si>
    <t>Encryption at rest not confirmed for stored employee and candidate PII</t>
  </si>
  <si>
    <t>Procurement / Vendor Mgmt</t>
  </si>
  <si>
    <t>Monthly check-in scheduled per High risk band</t>
  </si>
  <si>
    <t>LegalDocs Tool</t>
  </si>
  <si>
    <t>Document Management</t>
  </si>
  <si>
    <t>2025-05-12</t>
  </si>
  <si>
    <t>2027-05-12</t>
  </si>
  <si>
    <t>No material findings</t>
  </si>
  <si>
    <t>Low-tier document repository; anonymised templates only</t>
  </si>
  <si>
    <t>Office Supplies Portal</t>
  </si>
  <si>
    <t>Procurement</t>
  </si>
  <si>
    <t>Not Started</t>
  </si>
  <si>
    <t>2026-08-01</t>
  </si>
  <si>
    <t>Not yet assessed this cycle</t>
  </si>
  <si>
    <t>No network access to StubHub systems</t>
  </si>
  <si>
    <t>FraudDetection API</t>
  </si>
  <si>
    <t>Security Services</t>
  </si>
  <si>
    <t>Overdue</t>
  </si>
  <si>
    <t>2025-06-30</t>
  </si>
  <si>
    <t>2026-06-30</t>
  </si>
  <si>
    <t>Assessment overdue by 5 days; escalation notice sent</t>
  </si>
  <si>
    <t>GRC Analyst</t>
  </si>
  <si>
    <t>Real-time transaction risk scoring; Tier 1 due to payment-adjacent data access</t>
  </si>
  <si>
    <t>CDN Provider</t>
  </si>
  <si>
    <t>Infrastructure</t>
  </si>
  <si>
    <t>2025-07-05</t>
  </si>
  <si>
    <t>2026-07-05</t>
  </si>
  <si>
    <t>Patch management SLA documented but not independently verified</t>
  </si>
  <si>
    <t>Edge caching layer; no direct PII access</t>
  </si>
  <si>
    <t>Data Backup Vendor</t>
  </si>
  <si>
    <t>Backup/Recovery</t>
  </si>
  <si>
    <t>2026-02-01</t>
  </si>
  <si>
    <t>2026-05-01</t>
  </si>
  <si>
    <t>Business continuity test not performed in over 24 months; incident response plan not tested</t>
  </si>
  <si>
    <t>VP Engineering</t>
  </si>
  <si>
    <t>2026-07-15</t>
  </si>
  <si>
    <t>Critical due to full customer database backup access; re-assessment scheduled within 90 days of remediation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</si>
</sst>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color rgb="FF1F3A5F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Calibri"/>
      <family val="2"/>
      <charset val="1"/>
    </font>
    <font>
      <sz val="12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8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E0B2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E0B2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C19" sqref="C19"/>
    </sheetView>
  </sheetViews>
  <sheetFormatPr baseColWidth="10" defaultColWidth="8.6640625" defaultRowHeight="16" x14ac:dyDescent="0.2"/>
  <cols>
    <col min="1" max="1" width="6" style="5" customWidth="1"/>
    <col min="2" max="2" width="10" style="5" customWidth="1"/>
    <col min="3" max="3" width="32" style="5" customWidth="1"/>
    <col min="4" max="4" width="34" style="5" customWidth="1"/>
    <col min="5" max="6" width="20" style="5" customWidth="1"/>
    <col min="7" max="16384" width="8.6640625" style="5"/>
  </cols>
  <sheetData>
    <row r="1" spans="1:6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4" x14ac:dyDescent="0.2">
      <c r="A2" s="3">
        <v>1</v>
      </c>
      <c r="B2" s="3" t="s">
        <v>6</v>
      </c>
      <c r="C2" s="4" t="s">
        <v>7</v>
      </c>
      <c r="D2" s="4" t="s">
        <v>8</v>
      </c>
      <c r="E2" s="3" t="s">
        <v>9</v>
      </c>
      <c r="F2" s="3" t="s">
        <v>10</v>
      </c>
    </row>
    <row r="3" spans="1:6" ht="34" x14ac:dyDescent="0.2">
      <c r="A3" s="3">
        <v>2</v>
      </c>
      <c r="B3" s="3" t="s">
        <v>11</v>
      </c>
      <c r="C3" s="4" t="s">
        <v>12</v>
      </c>
      <c r="D3" s="4" t="s">
        <v>13</v>
      </c>
      <c r="E3" s="3" t="s">
        <v>14</v>
      </c>
      <c r="F3" s="3" t="s">
        <v>15</v>
      </c>
    </row>
    <row r="4" spans="1:6" ht="51" x14ac:dyDescent="0.2">
      <c r="A4" s="3">
        <v>3</v>
      </c>
      <c r="B4" s="3" t="s">
        <v>16</v>
      </c>
      <c r="C4" s="4" t="s">
        <v>17</v>
      </c>
      <c r="D4" s="4" t="s">
        <v>18</v>
      </c>
      <c r="E4" s="3" t="s">
        <v>19</v>
      </c>
      <c r="F4" s="3" t="s">
        <v>20</v>
      </c>
    </row>
    <row r="7" spans="1:6" x14ac:dyDescent="0.2">
      <c r="A7" s="1" t="s">
        <v>21</v>
      </c>
    </row>
    <row r="8" spans="1:6" x14ac:dyDescent="0.2">
      <c r="A8" s="6" t="s">
        <v>22</v>
      </c>
    </row>
    <row r="9" spans="1:6" x14ac:dyDescent="0.2">
      <c r="A9" s="6" t="s">
        <v>23</v>
      </c>
    </row>
    <row r="10" spans="1:6" x14ac:dyDescent="0.2">
      <c r="A10" s="6" t="s">
        <v>24</v>
      </c>
    </row>
    <row r="11" spans="1:6" x14ac:dyDescent="0.2">
      <c r="A11" s="6" t="s">
        <v>25</v>
      </c>
    </row>
    <row r="12" spans="1:6" x14ac:dyDescent="0.2">
      <c r="A12" s="6" t="s">
        <v>26</v>
      </c>
    </row>
    <row r="13" spans="1:6" x14ac:dyDescent="0.2">
      <c r="A13" s="6" t="s">
        <v>27</v>
      </c>
    </row>
    <row r="14" spans="1:6" x14ac:dyDescent="0.2">
      <c r="A14" s="6" t="s">
        <v>28</v>
      </c>
    </row>
    <row r="15" spans="1:6" x14ac:dyDescent="0.2">
      <c r="A15" s="6" t="s">
        <v>26</v>
      </c>
    </row>
    <row r="16" spans="1:6" x14ac:dyDescent="0.2">
      <c r="A16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pane ySplit="1" topLeftCell="A2" activePane="bottomLeft" state="frozen"/>
      <selection pane="bottomLeft" activeCell="G1" sqref="G1:G1048576"/>
    </sheetView>
  </sheetViews>
  <sheetFormatPr baseColWidth="10" defaultColWidth="8.6640625" defaultRowHeight="15" x14ac:dyDescent="0.2"/>
  <cols>
    <col min="1" max="1" width="24.33203125" customWidth="1"/>
    <col min="2" max="2" width="18.6640625" customWidth="1"/>
    <col min="3" max="3" width="8" customWidth="1"/>
    <col min="4" max="4" width="13" customWidth="1"/>
    <col min="5" max="6" width="14" customWidth="1"/>
    <col min="7" max="7" width="17.83203125" customWidth="1"/>
    <col min="8" max="8" width="20.5" customWidth="1"/>
    <col min="9" max="9" width="46.6640625" customWidth="1"/>
    <col min="10" max="10" width="12" customWidth="1"/>
    <col min="11" max="11" width="18" customWidth="1"/>
    <col min="12" max="12" width="14" customWidth="1"/>
    <col min="13" max="13" width="37.5" customWidth="1"/>
  </cols>
  <sheetData>
    <row r="1" spans="1:13" ht="51" x14ac:dyDescent="0.2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  <row r="2" spans="1:13" ht="68" x14ac:dyDescent="0.2">
      <c r="A2" s="3" t="s">
        <v>43</v>
      </c>
      <c r="B2" s="3" t="s">
        <v>44</v>
      </c>
      <c r="C2" s="3">
        <v>1</v>
      </c>
      <c r="D2" s="3" t="s">
        <v>45</v>
      </c>
      <c r="E2" s="3" t="s">
        <v>46</v>
      </c>
      <c r="F2" s="3" t="s">
        <v>47</v>
      </c>
      <c r="G2" s="3">
        <v>46</v>
      </c>
      <c r="H2" s="3" t="str">
        <f t="shared" ref="H2:H11" si="0">IF(G2="","",IF(G2&lt;50,"Critical",IF(G2&lt;70,"High",IF(G2&lt;85,"Medium","Low"))))</f>
        <v>Critical</v>
      </c>
      <c r="I2" s="4" t="s">
        <v>48</v>
      </c>
      <c r="J2" s="3" t="s">
        <v>49</v>
      </c>
      <c r="K2" s="3" t="s">
        <v>50</v>
      </c>
      <c r="L2" s="3" t="s">
        <v>51</v>
      </c>
      <c r="M2" s="4" t="s">
        <v>52</v>
      </c>
    </row>
    <row r="3" spans="1:13" ht="34" x14ac:dyDescent="0.2">
      <c r="A3" s="3" t="s">
        <v>53</v>
      </c>
      <c r="B3" s="3" t="s">
        <v>54</v>
      </c>
      <c r="C3" s="3">
        <v>1</v>
      </c>
      <c r="D3" s="3" t="s">
        <v>45</v>
      </c>
      <c r="E3" s="3" t="s">
        <v>55</v>
      </c>
      <c r="F3" s="3" t="s">
        <v>56</v>
      </c>
      <c r="G3" s="3">
        <v>91</v>
      </c>
      <c r="H3" s="3" t="str">
        <f t="shared" si="0"/>
        <v>Low</v>
      </c>
      <c r="I3" s="4" t="s">
        <v>57</v>
      </c>
      <c r="J3" s="3" t="s">
        <v>58</v>
      </c>
      <c r="K3" s="3"/>
      <c r="L3" s="3"/>
      <c r="M3" s="4" t="s">
        <v>59</v>
      </c>
    </row>
    <row r="4" spans="1:13" ht="34" x14ac:dyDescent="0.2">
      <c r="A4" s="3" t="s">
        <v>60</v>
      </c>
      <c r="B4" s="3" t="s">
        <v>61</v>
      </c>
      <c r="C4" s="3">
        <v>2</v>
      </c>
      <c r="D4" s="3" t="s">
        <v>45</v>
      </c>
      <c r="E4" s="3" t="s">
        <v>62</v>
      </c>
      <c r="F4" s="3" t="s">
        <v>63</v>
      </c>
      <c r="G4" s="3">
        <v>78</v>
      </c>
      <c r="H4" s="3" t="str">
        <f t="shared" si="0"/>
        <v>Medium</v>
      </c>
      <c r="I4" s="4" t="s">
        <v>64</v>
      </c>
      <c r="J4" s="3" t="s">
        <v>58</v>
      </c>
      <c r="K4" s="3"/>
      <c r="L4" s="3"/>
      <c r="M4" s="4" t="s">
        <v>65</v>
      </c>
    </row>
    <row r="5" spans="1:13" ht="34" x14ac:dyDescent="0.2">
      <c r="A5" s="3" t="s">
        <v>66</v>
      </c>
      <c r="B5" s="3" t="s">
        <v>67</v>
      </c>
      <c r="C5" s="3">
        <v>2</v>
      </c>
      <c r="D5" s="3" t="s">
        <v>68</v>
      </c>
      <c r="E5" s="3" t="s">
        <v>69</v>
      </c>
      <c r="F5" s="3" t="s">
        <v>70</v>
      </c>
      <c r="G5" s="3"/>
      <c r="H5" s="3" t="str">
        <f t="shared" si="0"/>
        <v/>
      </c>
      <c r="I5" s="4" t="s">
        <v>71</v>
      </c>
      <c r="J5" s="3" t="s">
        <v>58</v>
      </c>
      <c r="K5" s="3"/>
      <c r="L5" s="3"/>
      <c r="M5" s="4" t="s">
        <v>72</v>
      </c>
    </row>
    <row r="6" spans="1:13" ht="34" x14ac:dyDescent="0.2">
      <c r="A6" s="3" t="s">
        <v>73</v>
      </c>
      <c r="B6" s="3" t="s">
        <v>74</v>
      </c>
      <c r="C6" s="3">
        <v>2</v>
      </c>
      <c r="D6" s="3" t="s">
        <v>45</v>
      </c>
      <c r="E6" s="3" t="s">
        <v>75</v>
      </c>
      <c r="F6" s="3" t="s">
        <v>76</v>
      </c>
      <c r="G6" s="3">
        <v>64</v>
      </c>
      <c r="H6" s="3" t="str">
        <f t="shared" si="0"/>
        <v>High</v>
      </c>
      <c r="I6" s="4" t="s">
        <v>77</v>
      </c>
      <c r="J6" s="3" t="s">
        <v>49</v>
      </c>
      <c r="K6" s="3" t="s">
        <v>78</v>
      </c>
      <c r="L6" s="3" t="s">
        <v>56</v>
      </c>
      <c r="M6" s="4" t="s">
        <v>79</v>
      </c>
    </row>
    <row r="7" spans="1:13" ht="34" x14ac:dyDescent="0.2">
      <c r="A7" s="3" t="s">
        <v>80</v>
      </c>
      <c r="B7" s="3" t="s">
        <v>81</v>
      </c>
      <c r="C7" s="3">
        <v>3</v>
      </c>
      <c r="D7" s="3" t="s">
        <v>45</v>
      </c>
      <c r="E7" s="3" t="s">
        <v>82</v>
      </c>
      <c r="F7" s="3" t="s">
        <v>83</v>
      </c>
      <c r="G7" s="3">
        <v>88</v>
      </c>
      <c r="H7" s="3" t="str">
        <f t="shared" si="0"/>
        <v>Low</v>
      </c>
      <c r="I7" s="4" t="s">
        <v>84</v>
      </c>
      <c r="J7" s="3" t="s">
        <v>58</v>
      </c>
      <c r="K7" s="3"/>
      <c r="L7" s="3"/>
      <c r="M7" s="4" t="s">
        <v>85</v>
      </c>
    </row>
    <row r="8" spans="1:13" ht="34" x14ac:dyDescent="0.2">
      <c r="A8" s="3" t="s">
        <v>86</v>
      </c>
      <c r="B8" s="3" t="s">
        <v>87</v>
      </c>
      <c r="C8" s="3">
        <v>3</v>
      </c>
      <c r="D8" s="3" t="s">
        <v>88</v>
      </c>
      <c r="E8" s="3"/>
      <c r="F8" s="3" t="s">
        <v>89</v>
      </c>
      <c r="G8" s="3"/>
      <c r="H8" s="3" t="str">
        <f t="shared" si="0"/>
        <v/>
      </c>
      <c r="I8" s="4" t="s">
        <v>90</v>
      </c>
      <c r="J8" s="3" t="s">
        <v>58</v>
      </c>
      <c r="K8" s="3"/>
      <c r="L8" s="3"/>
      <c r="M8" s="4" t="s">
        <v>91</v>
      </c>
    </row>
    <row r="9" spans="1:13" ht="51" x14ac:dyDescent="0.2">
      <c r="A9" s="3" t="s">
        <v>92</v>
      </c>
      <c r="B9" s="3" t="s">
        <v>93</v>
      </c>
      <c r="C9" s="3">
        <v>1</v>
      </c>
      <c r="D9" s="3" t="s">
        <v>94</v>
      </c>
      <c r="E9" s="3" t="s">
        <v>95</v>
      </c>
      <c r="F9" s="3" t="s">
        <v>96</v>
      </c>
      <c r="G9" s="3"/>
      <c r="H9" s="3" t="str">
        <f t="shared" si="0"/>
        <v/>
      </c>
      <c r="I9" s="4" t="s">
        <v>97</v>
      </c>
      <c r="J9" s="3" t="s">
        <v>58</v>
      </c>
      <c r="K9" s="3" t="s">
        <v>98</v>
      </c>
      <c r="L9" s="3" t="s">
        <v>89</v>
      </c>
      <c r="M9" s="4" t="s">
        <v>99</v>
      </c>
    </row>
    <row r="10" spans="1:13" ht="34" x14ac:dyDescent="0.2">
      <c r="A10" s="3" t="s">
        <v>100</v>
      </c>
      <c r="B10" s="3" t="s">
        <v>101</v>
      </c>
      <c r="C10" s="3">
        <v>2</v>
      </c>
      <c r="D10" s="3" t="s">
        <v>45</v>
      </c>
      <c r="E10" s="3" t="s">
        <v>102</v>
      </c>
      <c r="F10" s="3" t="s">
        <v>103</v>
      </c>
      <c r="G10" s="3">
        <v>82</v>
      </c>
      <c r="H10" s="3" t="str">
        <f t="shared" si="0"/>
        <v>Medium</v>
      </c>
      <c r="I10" s="4" t="s">
        <v>104</v>
      </c>
      <c r="J10" s="3" t="s">
        <v>58</v>
      </c>
      <c r="K10" s="3"/>
      <c r="L10" s="3"/>
      <c r="M10" s="4" t="s">
        <v>105</v>
      </c>
    </row>
    <row r="11" spans="1:13" ht="68" x14ac:dyDescent="0.2">
      <c r="A11" s="3" t="s">
        <v>106</v>
      </c>
      <c r="B11" s="3" t="s">
        <v>107</v>
      </c>
      <c r="C11" s="3">
        <v>1</v>
      </c>
      <c r="D11" s="3" t="s">
        <v>45</v>
      </c>
      <c r="E11" s="3" t="s">
        <v>108</v>
      </c>
      <c r="F11" s="3" t="s">
        <v>109</v>
      </c>
      <c r="G11" s="3">
        <v>41</v>
      </c>
      <c r="H11" s="3" t="str">
        <f t="shared" si="0"/>
        <v>Critical</v>
      </c>
      <c r="I11" s="4" t="s">
        <v>110</v>
      </c>
      <c r="J11" s="3" t="s">
        <v>49</v>
      </c>
      <c r="K11" s="3" t="s">
        <v>111</v>
      </c>
      <c r="L11" s="3" t="s">
        <v>112</v>
      </c>
      <c r="M11" s="4" t="s">
        <v>113</v>
      </c>
    </row>
  </sheetData>
  <conditionalFormatting sqref="G2:G11">
    <cfRule type="cellIs" dxfId="7" priority="6" operator="lessThan">
      <formula>50</formula>
    </cfRule>
    <cfRule type="cellIs" dxfId="6" priority="7" operator="between">
      <formula>50</formula>
      <formula>69</formula>
    </cfRule>
    <cfRule type="cellIs" dxfId="5" priority="8" operator="between">
      <formula>70</formula>
      <formula>84</formula>
    </cfRule>
    <cfRule type="cellIs" dxfId="4" priority="9" operator="greaterThanOrEqual">
      <formula>85</formula>
    </cfRule>
  </conditionalFormatting>
  <conditionalFormatting sqref="H2:H11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3">
    <dataValidation type="list" allowBlank="1" sqref="C2:C11" xr:uid="{00000000-0002-0000-0100-000000000000}">
      <formula1>"1,2,3"</formula1>
      <formula2>0</formula2>
    </dataValidation>
    <dataValidation type="list" allowBlank="1" sqref="D2:D11" xr:uid="{00000000-0002-0000-0100-000001000000}">
      <formula1>"Not Started,In Progress,Complete,Overdue"</formula1>
      <formula2>0</formula2>
    </dataValidation>
    <dataValidation type="list" allowBlank="1" sqref="J2:J11" xr:uid="{00000000-0002-0000-01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Tiering Criteria</vt:lpstr>
      <vt:lpstr>Vendor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meghna suresh</cp:lastModifiedBy>
  <cp:revision>0</cp:revision>
  <dcterms:created xsi:type="dcterms:W3CDTF">2026-07-05T04:38:19Z</dcterms:created>
  <dcterms:modified xsi:type="dcterms:W3CDTF">2026-07-05T04:52:29Z</dcterms:modified>
  <dc:language>en-US</dc:language>
</cp:coreProperties>
</file>